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mục" sheetId="1" state="visible" r:id="rId3"/>
    <sheet name="Công thức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<sst xmlns="http://schemas.openxmlformats.org/spreadsheetml/2006/main" count="19" uniqueCount="17">
  <si>
    <t xml:space="preserve">Mã SP</t>
  </si>
  <si>
    <t xml:space="preserve">Tên</t>
  </si>
  <si>
    <t xml:space="preserve">Đơn giá</t>
  </si>
  <si>
    <t xml:space="preserve">SP01</t>
  </si>
  <si>
    <t xml:space="preserve">Bút bi</t>
  </si>
  <si>
    <t xml:space="preserve">SP02</t>
  </si>
  <si>
    <t xml:space="preserve">Vở</t>
  </si>
  <si>
    <t xml:space="preserve">SP03</t>
  </si>
  <si>
    <t xml:space="preserve">Thước</t>
  </si>
  <si>
    <t xml:space="preserve">Hệ số</t>
  </si>
  <si>
    <t xml:space="preserve">Mã tra</t>
  </si>
  <si>
    <t xml:space="preserve">Tên (VLOOKUP)</t>
  </si>
  <si>
    <t xml:space="preserve">Giá (VLOOKUP)</t>
  </si>
  <si>
    <t xml:space="preserve">Số lượng</t>
  </si>
  <si>
    <t xml:space="preserve">Thành tiền ($A$2)</t>
  </si>
  <si>
    <t xml:space="preserve">Xếp loại (IF lồng)</t>
  </si>
  <si>
    <t xml:space="preserve"/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</si>
</sst>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5000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12000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</row>
    <row r="2" customFormat="false" ht="12.8" hidden="false" customHeight="false" outlineLevel="0" collapsed="false">
      <c r="A2" s="0" t="n">
        <v>1.1</v>
      </c>
      <c r="B2" s="0" t="s">
        <v>5</v>
      </c>
      <c r="C2" s="0" t="str">
        <f aca="false">VLOOKUP(B2,'Danh mục'!A2:C4,2,0)</f>
        <v>Vở</v>
      </c>
      <c r="D2" s="0" t="n">
        <f aca="false">VLOOKUP(B2,'Danh mục'!A2:C4,3,0)</f>
        <v>12000</v>
      </c>
      <c r="E2" s="0" t="n">
        <v>80</v>
      </c>
      <c r="F2" s="0" t="n">
        <f aca="false">$A$2*E2</f>
        <v>88</v>
      </c>
      <c r="G2" s="0" t="str">
        <f aca="false">IF(E2&gt;=100,"Cao",IF(E2&gt;=50,"Trung bình","Thấp"))</f>
        <v>Trung bình</v>
      </c>
    </row>
    <row r="3" customFormat="false" ht="12.8" hidden="false" customHeight="false" outlineLevel="0" collapsed="false">
      <c r="A3" s="0" t="s">
        <v>16</v>
      </c>
      <c r="B3" s="0" t="s">
        <v>3</v>
      </c>
      <c r="C3" s="0" t="str">
        <f aca="false">VLOOKUP(B3,'Danh mục'!A2:C4,2,0)</f>
        <v>Bút bi</v>
      </c>
      <c r="D3" s="0" t="n">
        <f aca="false">VLOOKUP(B3,'Danh mục'!A2:C4,3,0)</f>
        <v>5000</v>
      </c>
      <c r="E3" s="0" t="n">
        <v>120</v>
      </c>
      <c r="F3" s="0" t="n">
        <f aca="false">$A$2*E3</f>
        <v>132</v>
      </c>
      <c r="G3" s="0" t="str">
        <f aca="false">IF(E3&gt;=100,"Cao",IF(E3&gt;=50,"Trung bình","Thấp"))</f>
        <v>Cao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